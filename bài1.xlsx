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NTT\XSTK &amp; PTDL\"/>
    </mc:Choice>
  </mc:AlternateContent>
  <xr:revisionPtr revIDLastSave="0" documentId="8_{1B160039-BA14-4902-B032-19B68195479D}" xr6:coauthVersionLast="47" xr6:coauthVersionMax="47" xr10:uidLastSave="{00000000-0000-0000-0000-000000000000}"/>
  <bookViews>
    <workbookView xWindow="-108" yWindow="-108" windowWidth="23256" windowHeight="12456" xr2:uid="{364A0355-D376-4C30-9788-9228EF4BF3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E67" i="1"/>
  <c r="D67" i="1"/>
  <c r="C67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C3" i="1" a="1"/>
  <c r="C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<sst xmlns="http://schemas.openxmlformats.org/spreadsheetml/2006/main" count="9" uniqueCount="9">
  <si>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Thoi_gian_su_dung_Internet (gio/ngay)</t>
  </si>
  <si>
    <t>x_i</t>
  </si>
  <si>
    <t>x_i*n_i</t>
  </si>
  <si>
    <t>n_1</t>
  </si>
  <si>
    <t>X_i^2*n_i</t>
  </si>
  <si>
    <t>Trung bình mẫu</t>
  </si>
  <si>
    <t>Phương sai mẫu</t>
  </si>
  <si>
    <t>Độ lệch chuẩn mẫu</t>
  </si>
  <si>
    <t>Tính tần suất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</si>
</sst>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  <font>
      <sz val="10"/>
      <color theme="1"/>
      <name val="Courier New"/>
      <family val="3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9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0AD3A-2E5F-48EF-B2FF-29CDC0FE4275}">
  <dimension ref="A1:G101"/>
  <sheetViews>
    <sheetView tabSelected="1" zoomScaleNormal="100" workbookViewId="0">
      <selection activeCell="J9" sqref="J9"/>
    </sheetView>
  </sheetViews>
  <sheetFormatPr defaultRowHeight="14.4"/>
  <cols>
    <col min="3" max="3" width="13" customWidth="1"/>
    <col min="4" max="4" width="15.109375" customWidth="1"/>
    <col min="5" max="5" width="17.109375" customWidth="1"/>
    <col min="7" max="7" width="15" customWidth="1"/>
  </cols>
  <sheetData>
    <row r="1" spans="1:7">
      <c r="A1" s="1" t="s">
        <v>0</v>
      </c>
      <c r="B1" s="1"/>
    </row>
    <row r="2" spans="1:7" ht="15.6">
      <c r="A2" s="1">
        <v>3.6</v>
      </c>
      <c r="B2" s="1"/>
      <c r="C2" t="s">
        <v>1</v>
      </c>
      <c r="D2" t="s">
        <v>3</v>
      </c>
      <c r="E2" t="s">
        <v>2</v>
      </c>
      <c r="F2" t="s">
        <v>4</v>
      </c>
      <c r="G2" s="4" t="s">
        <v>8</v>
      </c>
    </row>
    <row r="3" spans="1:7">
      <c r="A3" s="1">
        <v>1.9</v>
      </c>
      <c r="B3" s="1"/>
      <c r="C3" cm="1">
        <f t="array" ref="C3:C63">_xlfn.UNIQUE(A2:A101)</f>
        <v>3.6</v>
      </c>
      <c r="D3">
        <f>COUNTIF($A$2:$A$101, C3)</f>
        <v>1</v>
      </c>
      <c r="E3">
        <f>C3*D3</f>
        <v>3.6</v>
      </c>
      <c r="F3">
        <f>C3^2*D3</f>
        <v>12.96</v>
      </c>
      <c r="G3" s="5">
        <f t="shared" ref="G3:G63" si="0">D3/COUNT($A$2:$A$101)</f>
        <v>0.01</v>
      </c>
    </row>
    <row r="4" spans="1:7">
      <c r="A4" s="1">
        <v>6.7</v>
      </c>
      <c r="B4" s="1"/>
      <c r="C4">
        <v>1.9</v>
      </c>
      <c r="D4">
        <f t="shared" ref="D3:D63" si="1">COUNTIF($A$2:$A$101, C4)</f>
        <v>4</v>
      </c>
      <c r="E4">
        <f t="shared" ref="E4:E63" si="2">C4*D4</f>
        <v>7.6</v>
      </c>
      <c r="F4">
        <f t="shared" ref="F4:F63" si="3">C4^2*D4</f>
        <v>14.44</v>
      </c>
      <c r="G4" s="5">
        <f t="shared" si="0"/>
        <v>0.04</v>
      </c>
    </row>
    <row r="5" spans="1:7">
      <c r="A5" s="1">
        <v>1.2</v>
      </c>
      <c r="B5" s="1"/>
      <c r="C5">
        <v>6.7</v>
      </c>
      <c r="D5">
        <f t="shared" si="1"/>
        <v>1</v>
      </c>
      <c r="E5">
        <f t="shared" si="2"/>
        <v>6.7</v>
      </c>
      <c r="F5">
        <f t="shared" si="3"/>
        <v>44.89</v>
      </c>
      <c r="G5" s="5">
        <f t="shared" si="0"/>
        <v>0.01</v>
      </c>
    </row>
    <row r="6" spans="1:7">
      <c r="A6" s="1">
        <v>5.6</v>
      </c>
      <c r="B6" s="1"/>
      <c r="C6">
        <v>1.2</v>
      </c>
      <c r="D6">
        <f t="shared" si="1"/>
        <v>2</v>
      </c>
      <c r="E6">
        <f t="shared" si="2"/>
        <v>2.4</v>
      </c>
      <c r="F6">
        <f t="shared" si="3"/>
        <v>2.88</v>
      </c>
      <c r="G6" s="5">
        <f t="shared" si="0"/>
        <v>0.02</v>
      </c>
    </row>
    <row r="7" spans="1:7">
      <c r="A7" s="1">
        <v>4</v>
      </c>
      <c r="B7" s="1"/>
      <c r="C7">
        <v>5.6</v>
      </c>
      <c r="D7">
        <f t="shared" si="1"/>
        <v>1</v>
      </c>
      <c r="E7">
        <f t="shared" si="2"/>
        <v>5.6</v>
      </c>
      <c r="F7">
        <f t="shared" si="3"/>
        <v>31.359999999999996</v>
      </c>
      <c r="G7" s="5">
        <f t="shared" si="0"/>
        <v>0.01</v>
      </c>
    </row>
    <row r="8" spans="1:7">
      <c r="A8" s="1">
        <v>1.1000000000000001</v>
      </c>
      <c r="B8" s="1"/>
      <c r="C8">
        <v>4</v>
      </c>
      <c r="D8">
        <f t="shared" si="1"/>
        <v>2</v>
      </c>
      <c r="E8">
        <f t="shared" si="2"/>
        <v>8</v>
      </c>
      <c r="F8">
        <f t="shared" si="3"/>
        <v>32</v>
      </c>
      <c r="G8" s="5">
        <f t="shared" si="0"/>
        <v>0.02</v>
      </c>
    </row>
    <row r="9" spans="1:7">
      <c r="A9" s="1">
        <v>5.3</v>
      </c>
      <c r="B9" s="1"/>
      <c r="C9">
        <v>1.1000000000000001</v>
      </c>
      <c r="D9">
        <f t="shared" si="1"/>
        <v>5</v>
      </c>
      <c r="E9">
        <f t="shared" si="2"/>
        <v>5.5</v>
      </c>
      <c r="F9">
        <f t="shared" si="3"/>
        <v>6.0500000000000007</v>
      </c>
      <c r="G9" s="5">
        <f t="shared" si="0"/>
        <v>0.05</v>
      </c>
    </row>
    <row r="10" spans="1:7">
      <c r="A10" s="1">
        <v>0.9</v>
      </c>
      <c r="B10" s="1"/>
      <c r="C10">
        <v>5.3</v>
      </c>
      <c r="D10">
        <f t="shared" si="1"/>
        <v>1</v>
      </c>
      <c r="E10">
        <f t="shared" si="2"/>
        <v>5.3</v>
      </c>
      <c r="F10">
        <f t="shared" si="3"/>
        <v>28.09</v>
      </c>
      <c r="G10" s="5">
        <f t="shared" si="0"/>
        <v>0.01</v>
      </c>
    </row>
    <row r="11" spans="1:7">
      <c r="A11" s="1">
        <v>4.5999999999999996</v>
      </c>
      <c r="B11" s="1"/>
      <c r="C11">
        <v>0.9</v>
      </c>
      <c r="D11">
        <f t="shared" si="1"/>
        <v>3</v>
      </c>
      <c r="E11">
        <f t="shared" si="2"/>
        <v>2.7</v>
      </c>
      <c r="F11">
        <f t="shared" si="3"/>
        <v>2.4300000000000002</v>
      </c>
      <c r="G11" s="5">
        <f t="shared" si="0"/>
        <v>0.03</v>
      </c>
    </row>
    <row r="12" spans="1:7">
      <c r="A12" s="1">
        <v>1.2</v>
      </c>
      <c r="B12" s="1"/>
      <c r="C12">
        <v>4.5999999999999996</v>
      </c>
      <c r="D12">
        <f t="shared" si="1"/>
        <v>2</v>
      </c>
      <c r="E12">
        <f t="shared" si="2"/>
        <v>9.1999999999999993</v>
      </c>
      <c r="F12">
        <f t="shared" si="3"/>
        <v>42.319999999999993</v>
      </c>
      <c r="G12" s="5">
        <f t="shared" si="0"/>
        <v>0.02</v>
      </c>
    </row>
    <row r="13" spans="1:7">
      <c r="A13" s="1">
        <v>1.4</v>
      </c>
      <c r="B13" s="1"/>
      <c r="C13">
        <v>1.4</v>
      </c>
      <c r="D13">
        <f t="shared" si="1"/>
        <v>1</v>
      </c>
      <c r="E13">
        <f t="shared" si="2"/>
        <v>1.4</v>
      </c>
      <c r="F13">
        <f t="shared" si="3"/>
        <v>1.9599999999999997</v>
      </c>
      <c r="G13" s="5">
        <f t="shared" si="0"/>
        <v>0.01</v>
      </c>
    </row>
    <row r="14" spans="1:7">
      <c r="A14" s="1">
        <v>4.5</v>
      </c>
      <c r="B14" s="1"/>
      <c r="C14">
        <v>4.5</v>
      </c>
      <c r="D14">
        <f t="shared" si="1"/>
        <v>2</v>
      </c>
      <c r="E14">
        <f t="shared" si="2"/>
        <v>9</v>
      </c>
      <c r="F14">
        <f t="shared" si="3"/>
        <v>40.5</v>
      </c>
      <c r="G14" s="5">
        <f t="shared" si="0"/>
        <v>0.02</v>
      </c>
    </row>
    <row r="15" spans="1:7">
      <c r="A15" s="1">
        <v>8.4</v>
      </c>
      <c r="B15" s="1"/>
      <c r="C15">
        <v>8.4</v>
      </c>
      <c r="D15">
        <f t="shared" si="1"/>
        <v>1</v>
      </c>
      <c r="E15">
        <f t="shared" si="2"/>
        <v>8.4</v>
      </c>
      <c r="F15">
        <f t="shared" si="3"/>
        <v>70.56</v>
      </c>
      <c r="G15" s="5">
        <f t="shared" si="0"/>
        <v>0.01</v>
      </c>
    </row>
    <row r="16" spans="1:7">
      <c r="A16" s="1">
        <v>1.7</v>
      </c>
      <c r="B16" s="1"/>
      <c r="C16">
        <v>1.7</v>
      </c>
      <c r="D16">
        <f t="shared" si="1"/>
        <v>2</v>
      </c>
      <c r="E16">
        <f t="shared" si="2"/>
        <v>3.4</v>
      </c>
      <c r="F16">
        <f t="shared" si="3"/>
        <v>5.7799999999999994</v>
      </c>
      <c r="G16" s="5">
        <f t="shared" si="0"/>
        <v>0.02</v>
      </c>
    </row>
    <row r="17" spans="1:7">
      <c r="A17" s="1">
        <v>2.6</v>
      </c>
      <c r="B17" s="1"/>
      <c r="C17">
        <v>2.6</v>
      </c>
      <c r="D17">
        <f t="shared" si="1"/>
        <v>1</v>
      </c>
      <c r="E17">
        <f t="shared" si="2"/>
        <v>2.6</v>
      </c>
      <c r="F17">
        <f t="shared" si="3"/>
        <v>6.7600000000000007</v>
      </c>
      <c r="G17" s="5">
        <f t="shared" si="0"/>
        <v>0.01</v>
      </c>
    </row>
    <row r="18" spans="1:7">
      <c r="A18" s="1">
        <v>6.5</v>
      </c>
      <c r="B18" s="1"/>
      <c r="C18">
        <v>6.5</v>
      </c>
      <c r="D18">
        <f t="shared" si="1"/>
        <v>1</v>
      </c>
      <c r="E18">
        <f t="shared" si="2"/>
        <v>6.5</v>
      </c>
      <c r="F18">
        <f t="shared" si="3"/>
        <v>42.25</v>
      </c>
      <c r="G18" s="5">
        <f t="shared" si="0"/>
        <v>0.01</v>
      </c>
    </row>
    <row r="19" spans="1:7">
      <c r="A19" s="1">
        <v>9.5</v>
      </c>
      <c r="B19" s="1"/>
      <c r="C19">
        <v>9.5</v>
      </c>
      <c r="D19">
        <f t="shared" si="1"/>
        <v>2</v>
      </c>
      <c r="E19">
        <f t="shared" si="2"/>
        <v>19</v>
      </c>
      <c r="F19">
        <f t="shared" si="3"/>
        <v>180.5</v>
      </c>
      <c r="G19" s="5">
        <f t="shared" si="0"/>
        <v>0.02</v>
      </c>
    </row>
    <row r="20" spans="1:7">
      <c r="A20" s="1">
        <v>6</v>
      </c>
      <c r="B20" s="1"/>
      <c r="C20">
        <v>6</v>
      </c>
      <c r="D20">
        <f t="shared" si="1"/>
        <v>4</v>
      </c>
      <c r="E20">
        <f t="shared" si="2"/>
        <v>24</v>
      </c>
      <c r="F20">
        <f t="shared" si="3"/>
        <v>144</v>
      </c>
      <c r="G20" s="5">
        <f t="shared" si="0"/>
        <v>0.04</v>
      </c>
    </row>
    <row r="21" spans="1:7">
      <c r="A21" s="1">
        <v>4.3</v>
      </c>
      <c r="B21" s="1"/>
      <c r="C21">
        <v>4.3</v>
      </c>
      <c r="D21">
        <f t="shared" si="1"/>
        <v>1</v>
      </c>
      <c r="E21">
        <f t="shared" si="2"/>
        <v>4.3</v>
      </c>
      <c r="F21">
        <f t="shared" si="3"/>
        <v>18.489999999999998</v>
      </c>
      <c r="G21" s="5">
        <f t="shared" si="0"/>
        <v>0.01</v>
      </c>
    </row>
    <row r="22" spans="1:7">
      <c r="A22" s="1">
        <v>9.8000000000000007</v>
      </c>
      <c r="B22" s="1"/>
      <c r="C22">
        <v>9.8000000000000007</v>
      </c>
      <c r="D22">
        <f t="shared" si="1"/>
        <v>2</v>
      </c>
      <c r="E22">
        <f t="shared" si="2"/>
        <v>19.600000000000001</v>
      </c>
      <c r="F22">
        <f t="shared" si="3"/>
        <v>192.08000000000004</v>
      </c>
      <c r="G22" s="5">
        <f t="shared" si="0"/>
        <v>0.02</v>
      </c>
    </row>
    <row r="23" spans="1:7">
      <c r="A23" s="1">
        <v>0.9</v>
      </c>
      <c r="B23" s="1"/>
      <c r="C23">
        <v>8.6999999999999993</v>
      </c>
      <c r="D23">
        <f t="shared" si="1"/>
        <v>2</v>
      </c>
      <c r="E23">
        <f t="shared" si="2"/>
        <v>17.399999999999999</v>
      </c>
      <c r="F23">
        <f t="shared" si="3"/>
        <v>151.37999999999997</v>
      </c>
      <c r="G23" s="5">
        <f t="shared" si="0"/>
        <v>0.02</v>
      </c>
    </row>
    <row r="24" spans="1:7">
      <c r="A24" s="1">
        <v>8.6999999999999993</v>
      </c>
      <c r="B24" s="1"/>
      <c r="C24">
        <v>3.3</v>
      </c>
      <c r="D24">
        <f t="shared" si="1"/>
        <v>2</v>
      </c>
      <c r="E24">
        <f t="shared" si="2"/>
        <v>6.6</v>
      </c>
      <c r="F24">
        <f t="shared" si="3"/>
        <v>21.779999999999998</v>
      </c>
      <c r="G24" s="5">
        <f t="shared" si="0"/>
        <v>0.02</v>
      </c>
    </row>
    <row r="25" spans="1:7">
      <c r="A25" s="1">
        <v>3.3</v>
      </c>
      <c r="B25" s="1"/>
      <c r="C25">
        <v>1.6</v>
      </c>
      <c r="D25">
        <f t="shared" si="1"/>
        <v>3</v>
      </c>
      <c r="E25">
        <f t="shared" si="2"/>
        <v>4.8000000000000007</v>
      </c>
      <c r="F25">
        <f t="shared" si="3"/>
        <v>7.6800000000000015</v>
      </c>
      <c r="G25" s="5">
        <f t="shared" si="0"/>
        <v>0.03</v>
      </c>
    </row>
    <row r="26" spans="1:7">
      <c r="A26" s="1">
        <v>1.9</v>
      </c>
      <c r="B26" s="1"/>
      <c r="C26">
        <v>3.4</v>
      </c>
      <c r="D26">
        <f t="shared" si="1"/>
        <v>1</v>
      </c>
      <c r="E26">
        <f t="shared" si="2"/>
        <v>3.4</v>
      </c>
      <c r="F26">
        <f t="shared" si="3"/>
        <v>11.559999999999999</v>
      </c>
      <c r="G26" s="5">
        <f t="shared" si="0"/>
        <v>0.01</v>
      </c>
    </row>
    <row r="27" spans="1:7">
      <c r="A27" s="1">
        <v>1.6</v>
      </c>
      <c r="B27" s="1"/>
      <c r="C27">
        <v>8.3000000000000007</v>
      </c>
      <c r="D27">
        <f t="shared" si="1"/>
        <v>3</v>
      </c>
      <c r="E27">
        <f t="shared" si="2"/>
        <v>24.900000000000002</v>
      </c>
      <c r="F27">
        <f t="shared" si="3"/>
        <v>206.67000000000004</v>
      </c>
      <c r="G27" s="5">
        <f t="shared" si="0"/>
        <v>0.03</v>
      </c>
    </row>
    <row r="28" spans="1:7">
      <c r="A28" s="1">
        <v>3.4</v>
      </c>
      <c r="B28" s="1"/>
      <c r="C28">
        <v>2.2000000000000002</v>
      </c>
      <c r="D28">
        <f t="shared" si="1"/>
        <v>1</v>
      </c>
      <c r="E28">
        <f t="shared" si="2"/>
        <v>2.2000000000000002</v>
      </c>
      <c r="F28">
        <f t="shared" si="3"/>
        <v>4.8400000000000007</v>
      </c>
      <c r="G28" s="5">
        <f t="shared" si="0"/>
        <v>0.01</v>
      </c>
    </row>
    <row r="29" spans="1:7">
      <c r="A29" s="1">
        <v>8.3000000000000007</v>
      </c>
      <c r="B29" s="1"/>
      <c r="C29">
        <v>6.6</v>
      </c>
      <c r="D29">
        <f t="shared" si="1"/>
        <v>2</v>
      </c>
      <c r="E29">
        <f t="shared" si="2"/>
        <v>13.2</v>
      </c>
      <c r="F29">
        <f t="shared" si="3"/>
        <v>87.11999999999999</v>
      </c>
      <c r="G29" s="5">
        <f t="shared" si="0"/>
        <v>0.02</v>
      </c>
    </row>
    <row r="30" spans="1:7">
      <c r="A30" s="1">
        <v>2.2000000000000002</v>
      </c>
      <c r="B30" s="1"/>
      <c r="C30">
        <v>5.7</v>
      </c>
      <c r="D30">
        <f t="shared" si="1"/>
        <v>2</v>
      </c>
      <c r="E30">
        <f t="shared" si="2"/>
        <v>11.4</v>
      </c>
      <c r="F30">
        <f t="shared" si="3"/>
        <v>64.98</v>
      </c>
      <c r="G30" s="5">
        <f t="shared" si="0"/>
        <v>0.02</v>
      </c>
    </row>
    <row r="31" spans="1:7">
      <c r="A31" s="1">
        <v>6</v>
      </c>
      <c r="B31" s="1"/>
      <c r="C31">
        <v>2.5</v>
      </c>
      <c r="D31">
        <f t="shared" si="1"/>
        <v>1</v>
      </c>
      <c r="E31">
        <f t="shared" si="2"/>
        <v>2.5</v>
      </c>
      <c r="F31">
        <f t="shared" si="3"/>
        <v>6.25</v>
      </c>
      <c r="G31" s="5">
        <f t="shared" si="0"/>
        <v>0.01</v>
      </c>
    </row>
    <row r="32" spans="1:7">
      <c r="A32" s="1">
        <v>6.6</v>
      </c>
      <c r="B32" s="1"/>
      <c r="C32">
        <v>7</v>
      </c>
      <c r="D32">
        <f t="shared" si="1"/>
        <v>1</v>
      </c>
      <c r="E32">
        <f t="shared" si="2"/>
        <v>7</v>
      </c>
      <c r="F32">
        <f t="shared" si="3"/>
        <v>49</v>
      </c>
      <c r="G32" s="5">
        <f t="shared" si="0"/>
        <v>0.01</v>
      </c>
    </row>
    <row r="33" spans="1:7">
      <c r="A33" s="1">
        <v>4</v>
      </c>
      <c r="B33" s="1"/>
      <c r="C33">
        <v>3.5</v>
      </c>
      <c r="D33">
        <f t="shared" si="1"/>
        <v>2</v>
      </c>
      <c r="E33">
        <f t="shared" si="2"/>
        <v>7</v>
      </c>
      <c r="F33">
        <f t="shared" si="3"/>
        <v>24.5</v>
      </c>
      <c r="G33" s="5">
        <f t="shared" si="0"/>
        <v>0.02</v>
      </c>
    </row>
    <row r="34" spans="1:7">
      <c r="A34" s="1">
        <v>5.7</v>
      </c>
      <c r="B34" s="1"/>
      <c r="C34">
        <v>6.1</v>
      </c>
      <c r="D34">
        <f t="shared" si="1"/>
        <v>2</v>
      </c>
      <c r="E34">
        <f t="shared" si="2"/>
        <v>12.2</v>
      </c>
      <c r="F34">
        <f t="shared" si="3"/>
        <v>74.419999999999987</v>
      </c>
      <c r="G34" s="5">
        <f t="shared" si="0"/>
        <v>0.02</v>
      </c>
    </row>
    <row r="35" spans="1:7">
      <c r="A35" s="1">
        <v>1.1000000000000001</v>
      </c>
      <c r="B35" s="1"/>
      <c r="C35">
        <v>4.8</v>
      </c>
      <c r="D35">
        <f t="shared" si="1"/>
        <v>3</v>
      </c>
      <c r="E35">
        <f t="shared" si="2"/>
        <v>14.399999999999999</v>
      </c>
      <c r="F35">
        <f t="shared" si="3"/>
        <v>69.12</v>
      </c>
      <c r="G35" s="5">
        <f t="shared" si="0"/>
        <v>0.03</v>
      </c>
    </row>
    <row r="36" spans="1:7">
      <c r="A36" s="1">
        <v>1.1000000000000001</v>
      </c>
      <c r="B36" s="1"/>
      <c r="C36">
        <v>8</v>
      </c>
      <c r="D36">
        <f t="shared" si="1"/>
        <v>1</v>
      </c>
      <c r="E36">
        <f t="shared" si="2"/>
        <v>8</v>
      </c>
      <c r="F36">
        <f t="shared" si="3"/>
        <v>64</v>
      </c>
      <c r="G36" s="5">
        <f t="shared" si="0"/>
        <v>0.01</v>
      </c>
    </row>
    <row r="37" spans="1:7">
      <c r="A37" s="1">
        <v>2.5</v>
      </c>
      <c r="B37" s="1"/>
      <c r="C37">
        <v>7.1</v>
      </c>
      <c r="D37">
        <f t="shared" si="1"/>
        <v>2</v>
      </c>
      <c r="E37">
        <f t="shared" si="2"/>
        <v>14.2</v>
      </c>
      <c r="F37">
        <f t="shared" si="3"/>
        <v>100.82</v>
      </c>
      <c r="G37" s="5">
        <f t="shared" si="0"/>
        <v>0.02</v>
      </c>
    </row>
    <row r="38" spans="1:7">
      <c r="A38" s="1">
        <v>7</v>
      </c>
      <c r="B38" s="1"/>
      <c r="C38">
        <v>2.8</v>
      </c>
      <c r="D38">
        <f t="shared" si="1"/>
        <v>1</v>
      </c>
      <c r="E38">
        <f t="shared" si="2"/>
        <v>2.8</v>
      </c>
      <c r="F38">
        <f t="shared" si="3"/>
        <v>7.839999999999999</v>
      </c>
      <c r="G38" s="5">
        <f t="shared" si="0"/>
        <v>0.01</v>
      </c>
    </row>
    <row r="39" spans="1:7">
      <c r="A39" s="1">
        <v>4.5999999999999996</v>
      </c>
      <c r="B39" s="1"/>
      <c r="C39">
        <v>5.5</v>
      </c>
      <c r="D39">
        <f t="shared" si="1"/>
        <v>1</v>
      </c>
      <c r="E39">
        <f t="shared" si="2"/>
        <v>5.5</v>
      </c>
      <c r="F39">
        <f t="shared" si="3"/>
        <v>30.25</v>
      </c>
      <c r="G39" s="5">
        <f t="shared" si="0"/>
        <v>0.01</v>
      </c>
    </row>
    <row r="40" spans="1:7">
      <c r="A40" s="1">
        <v>3.5</v>
      </c>
      <c r="B40" s="1"/>
      <c r="C40">
        <v>8.8000000000000007</v>
      </c>
      <c r="D40">
        <f t="shared" si="1"/>
        <v>3</v>
      </c>
      <c r="E40">
        <f t="shared" si="2"/>
        <v>26.400000000000002</v>
      </c>
      <c r="F40">
        <f t="shared" si="3"/>
        <v>232.32000000000005</v>
      </c>
      <c r="G40" s="5">
        <f t="shared" si="0"/>
        <v>0.03</v>
      </c>
    </row>
    <row r="41" spans="1:7">
      <c r="A41" s="1">
        <v>6.1</v>
      </c>
      <c r="B41" s="1"/>
      <c r="C41">
        <v>7.4</v>
      </c>
      <c r="D41">
        <f t="shared" si="1"/>
        <v>1</v>
      </c>
      <c r="E41">
        <f t="shared" si="2"/>
        <v>7.4</v>
      </c>
      <c r="F41">
        <f t="shared" si="3"/>
        <v>54.760000000000005</v>
      </c>
      <c r="G41" s="5">
        <f t="shared" si="0"/>
        <v>0.01</v>
      </c>
    </row>
    <row r="42" spans="1:7">
      <c r="A42" s="1">
        <v>4.8</v>
      </c>
      <c r="B42" s="1"/>
      <c r="C42">
        <v>3.2</v>
      </c>
      <c r="D42">
        <f t="shared" si="1"/>
        <v>2</v>
      </c>
      <c r="E42">
        <f t="shared" si="2"/>
        <v>6.4</v>
      </c>
      <c r="F42">
        <f t="shared" si="3"/>
        <v>20.480000000000004</v>
      </c>
      <c r="G42" s="5">
        <f t="shared" si="0"/>
        <v>0.02</v>
      </c>
    </row>
    <row r="43" spans="1:7">
      <c r="A43" s="1">
        <v>3.3</v>
      </c>
      <c r="B43" s="1"/>
      <c r="C43">
        <v>7.7</v>
      </c>
      <c r="D43">
        <f t="shared" si="1"/>
        <v>1</v>
      </c>
      <c r="E43">
        <f t="shared" si="2"/>
        <v>7.7</v>
      </c>
      <c r="F43">
        <f t="shared" si="3"/>
        <v>59.290000000000006</v>
      </c>
      <c r="G43" s="5">
        <f t="shared" si="0"/>
        <v>0.01</v>
      </c>
    </row>
    <row r="44" spans="1:7">
      <c r="A44" s="1">
        <v>8</v>
      </c>
      <c r="B44" s="1"/>
      <c r="C44">
        <v>5.0999999999999996</v>
      </c>
      <c r="D44">
        <f t="shared" si="1"/>
        <v>1</v>
      </c>
      <c r="E44">
        <f t="shared" si="2"/>
        <v>5.0999999999999996</v>
      </c>
      <c r="F44">
        <f t="shared" si="3"/>
        <v>26.009999999999998</v>
      </c>
      <c r="G44" s="5">
        <f t="shared" si="0"/>
        <v>0.01</v>
      </c>
    </row>
    <row r="45" spans="1:7">
      <c r="A45" s="1">
        <v>7.1</v>
      </c>
      <c r="B45" s="1"/>
      <c r="C45">
        <v>6.8</v>
      </c>
      <c r="D45">
        <f t="shared" si="1"/>
        <v>2</v>
      </c>
      <c r="E45">
        <f t="shared" si="2"/>
        <v>13.6</v>
      </c>
      <c r="F45">
        <f t="shared" si="3"/>
        <v>92.47999999999999</v>
      </c>
      <c r="G45" s="5">
        <f t="shared" si="0"/>
        <v>0.02</v>
      </c>
    </row>
    <row r="46" spans="1:7">
      <c r="A46" s="1">
        <v>2.8</v>
      </c>
      <c r="B46" s="1"/>
      <c r="C46">
        <v>7.8</v>
      </c>
      <c r="D46">
        <f t="shared" si="1"/>
        <v>2</v>
      </c>
      <c r="E46">
        <f t="shared" si="2"/>
        <v>15.6</v>
      </c>
      <c r="F46">
        <f t="shared" si="3"/>
        <v>121.67999999999999</v>
      </c>
      <c r="G46" s="5">
        <f t="shared" si="0"/>
        <v>0.02</v>
      </c>
    </row>
    <row r="47" spans="1:7">
      <c r="A47" s="1">
        <v>6</v>
      </c>
      <c r="B47" s="1"/>
      <c r="C47">
        <v>5.9</v>
      </c>
      <c r="D47">
        <f t="shared" si="1"/>
        <v>1</v>
      </c>
      <c r="E47">
        <f t="shared" si="2"/>
        <v>5.9</v>
      </c>
      <c r="F47">
        <f t="shared" si="3"/>
        <v>34.81</v>
      </c>
      <c r="G47" s="5">
        <f t="shared" si="0"/>
        <v>0.01</v>
      </c>
    </row>
    <row r="48" spans="1:7">
      <c r="A48" s="1">
        <v>5.5</v>
      </c>
      <c r="B48" s="1"/>
      <c r="C48">
        <v>8.5</v>
      </c>
      <c r="D48">
        <f t="shared" si="1"/>
        <v>1</v>
      </c>
      <c r="E48">
        <f t="shared" si="2"/>
        <v>8.5</v>
      </c>
      <c r="F48">
        <f t="shared" si="3"/>
        <v>72.25</v>
      </c>
      <c r="G48" s="5">
        <f t="shared" si="0"/>
        <v>0.01</v>
      </c>
    </row>
    <row r="49" spans="1:7">
      <c r="A49" s="1">
        <v>8.8000000000000007</v>
      </c>
      <c r="B49" s="1"/>
      <c r="C49">
        <v>5</v>
      </c>
      <c r="D49">
        <f t="shared" si="1"/>
        <v>1</v>
      </c>
      <c r="E49">
        <f t="shared" si="2"/>
        <v>5</v>
      </c>
      <c r="F49">
        <f t="shared" si="3"/>
        <v>25</v>
      </c>
      <c r="G49" s="5">
        <f t="shared" si="0"/>
        <v>0.01</v>
      </c>
    </row>
    <row r="50" spans="1:7">
      <c r="A50" s="1">
        <v>7.4</v>
      </c>
      <c r="B50" s="1"/>
      <c r="C50">
        <v>7.2</v>
      </c>
      <c r="D50">
        <f t="shared" si="1"/>
        <v>1</v>
      </c>
      <c r="E50">
        <f t="shared" si="2"/>
        <v>7.2</v>
      </c>
      <c r="F50">
        <f t="shared" si="3"/>
        <v>51.84</v>
      </c>
      <c r="G50" s="5">
        <f t="shared" si="0"/>
        <v>0.01</v>
      </c>
    </row>
    <row r="51" spans="1:7">
      <c r="A51" s="1">
        <v>3.2</v>
      </c>
      <c r="B51" s="1"/>
      <c r="C51">
        <v>9.9</v>
      </c>
      <c r="D51">
        <f t="shared" si="1"/>
        <v>1</v>
      </c>
      <c r="E51">
        <f t="shared" si="2"/>
        <v>9.9</v>
      </c>
      <c r="F51">
        <f t="shared" si="3"/>
        <v>98.01</v>
      </c>
      <c r="G51" s="5">
        <f t="shared" si="0"/>
        <v>0.01</v>
      </c>
    </row>
    <row r="52" spans="1:7">
      <c r="A52" s="1">
        <v>9.8000000000000007</v>
      </c>
      <c r="B52" s="1"/>
      <c r="C52">
        <v>4.2</v>
      </c>
      <c r="D52">
        <f t="shared" si="1"/>
        <v>2</v>
      </c>
      <c r="E52">
        <f t="shared" si="2"/>
        <v>8.4</v>
      </c>
      <c r="F52">
        <f t="shared" si="3"/>
        <v>35.28</v>
      </c>
      <c r="G52" s="5">
        <f t="shared" si="0"/>
        <v>0.02</v>
      </c>
    </row>
    <row r="53" spans="1:7">
      <c r="A53" s="1">
        <v>1.6</v>
      </c>
      <c r="B53" s="1"/>
      <c r="C53">
        <v>6.9</v>
      </c>
      <c r="D53">
        <f t="shared" si="1"/>
        <v>1</v>
      </c>
      <c r="E53">
        <f t="shared" si="2"/>
        <v>6.9</v>
      </c>
      <c r="F53">
        <f t="shared" si="3"/>
        <v>47.610000000000007</v>
      </c>
      <c r="G53" s="5">
        <f t="shared" si="0"/>
        <v>0.01</v>
      </c>
    </row>
    <row r="54" spans="1:7">
      <c r="A54" s="1">
        <v>4.5</v>
      </c>
      <c r="B54" s="1"/>
      <c r="C54">
        <v>0.7</v>
      </c>
      <c r="D54">
        <f t="shared" si="1"/>
        <v>1</v>
      </c>
      <c r="E54">
        <f t="shared" si="2"/>
        <v>0.7</v>
      </c>
      <c r="F54">
        <f t="shared" si="3"/>
        <v>0.48999999999999994</v>
      </c>
      <c r="G54" s="5">
        <f t="shared" si="0"/>
        <v>0.01</v>
      </c>
    </row>
    <row r="55" spans="1:7">
      <c r="A55" s="1">
        <v>7.7</v>
      </c>
      <c r="B55" s="1"/>
      <c r="C55">
        <v>4.9000000000000004</v>
      </c>
      <c r="D55">
        <f t="shared" si="1"/>
        <v>1</v>
      </c>
      <c r="E55">
        <f t="shared" si="2"/>
        <v>4.9000000000000004</v>
      </c>
      <c r="F55">
        <f t="shared" si="3"/>
        <v>24.010000000000005</v>
      </c>
      <c r="G55" s="5">
        <f t="shared" si="0"/>
        <v>0.01</v>
      </c>
    </row>
    <row r="56" spans="1:7">
      <c r="A56" s="1">
        <v>1.9</v>
      </c>
      <c r="B56" s="1"/>
      <c r="C56">
        <v>2.1</v>
      </c>
      <c r="D56">
        <f t="shared" si="1"/>
        <v>1</v>
      </c>
      <c r="E56">
        <f t="shared" si="2"/>
        <v>2.1</v>
      </c>
      <c r="F56">
        <f t="shared" si="3"/>
        <v>4.41</v>
      </c>
      <c r="G56" s="5">
        <f t="shared" si="0"/>
        <v>0.01</v>
      </c>
    </row>
    <row r="57" spans="1:7">
      <c r="A57" s="1">
        <v>5.0999999999999996</v>
      </c>
      <c r="B57" s="1"/>
      <c r="C57">
        <v>2.9</v>
      </c>
      <c r="D57">
        <f t="shared" si="1"/>
        <v>1</v>
      </c>
      <c r="E57">
        <f t="shared" si="2"/>
        <v>2.9</v>
      </c>
      <c r="F57">
        <f t="shared" si="3"/>
        <v>8.41</v>
      </c>
      <c r="G57" s="5">
        <f t="shared" si="0"/>
        <v>0.01</v>
      </c>
    </row>
    <row r="58" spans="1:7">
      <c r="A58" s="1">
        <v>0.9</v>
      </c>
      <c r="B58" s="1"/>
      <c r="C58">
        <v>1.3</v>
      </c>
      <c r="D58">
        <f t="shared" si="1"/>
        <v>1</v>
      </c>
      <c r="E58">
        <f t="shared" si="2"/>
        <v>1.3</v>
      </c>
      <c r="F58">
        <f t="shared" si="3"/>
        <v>1.6900000000000002</v>
      </c>
      <c r="G58" s="5">
        <f t="shared" si="0"/>
        <v>0.01</v>
      </c>
    </row>
    <row r="59" spans="1:7">
      <c r="A59" s="1">
        <v>6.8</v>
      </c>
      <c r="B59" s="1"/>
      <c r="C59">
        <v>8.9</v>
      </c>
      <c r="D59">
        <f t="shared" si="1"/>
        <v>2</v>
      </c>
      <c r="E59">
        <f t="shared" si="2"/>
        <v>17.8</v>
      </c>
      <c r="F59">
        <f t="shared" si="3"/>
        <v>158.42000000000002</v>
      </c>
      <c r="G59" s="5">
        <f t="shared" si="0"/>
        <v>0.02</v>
      </c>
    </row>
    <row r="60" spans="1:7">
      <c r="A60" s="1">
        <v>7.8</v>
      </c>
      <c r="B60" s="1"/>
      <c r="C60">
        <v>3.1</v>
      </c>
      <c r="D60">
        <f t="shared" si="1"/>
        <v>1</v>
      </c>
      <c r="E60">
        <f t="shared" si="2"/>
        <v>3.1</v>
      </c>
      <c r="F60">
        <f t="shared" si="3"/>
        <v>9.6100000000000012</v>
      </c>
      <c r="G60" s="5">
        <f t="shared" si="0"/>
        <v>0.01</v>
      </c>
    </row>
    <row r="61" spans="1:7">
      <c r="A61" s="1">
        <v>5.9</v>
      </c>
      <c r="B61" s="1"/>
      <c r="C61">
        <v>4.4000000000000004</v>
      </c>
      <c r="D61">
        <f t="shared" si="1"/>
        <v>1</v>
      </c>
      <c r="E61">
        <f t="shared" si="2"/>
        <v>4.4000000000000004</v>
      </c>
      <c r="F61">
        <f t="shared" si="3"/>
        <v>19.360000000000003</v>
      </c>
      <c r="G61" s="5">
        <f t="shared" si="0"/>
        <v>0.01</v>
      </c>
    </row>
    <row r="62" spans="1:7">
      <c r="A62" s="1">
        <v>8.8000000000000007</v>
      </c>
      <c r="B62" s="1"/>
      <c r="C62">
        <v>3.9</v>
      </c>
      <c r="D62">
        <f t="shared" si="1"/>
        <v>1</v>
      </c>
      <c r="E62">
        <f t="shared" si="2"/>
        <v>3.9</v>
      </c>
      <c r="F62">
        <f t="shared" si="3"/>
        <v>15.209999999999999</v>
      </c>
      <c r="G62" s="5">
        <f t="shared" si="0"/>
        <v>0.01</v>
      </c>
    </row>
    <row r="63" spans="1:7">
      <c r="A63" s="1">
        <v>3.5</v>
      </c>
      <c r="B63" s="1"/>
      <c r="C63">
        <v>9.6</v>
      </c>
      <c r="D63">
        <f t="shared" si="1"/>
        <v>1</v>
      </c>
      <c r="E63">
        <f t="shared" si="2"/>
        <v>9.6</v>
      </c>
      <c r="F63">
        <f t="shared" si="3"/>
        <v>92.16</v>
      </c>
      <c r="G63" s="5">
        <f t="shared" si="0"/>
        <v>0.01</v>
      </c>
    </row>
    <row r="64" spans="1:7">
      <c r="A64" s="1">
        <v>7.1</v>
      </c>
      <c r="B64" s="1"/>
    </row>
    <row r="65" spans="1:5">
      <c r="A65" s="1">
        <v>6.1</v>
      </c>
      <c r="B65" s="1"/>
    </row>
    <row r="66" spans="1:5">
      <c r="A66" s="1">
        <v>6</v>
      </c>
      <c r="B66" s="1"/>
      <c r="C66" t="s">
        <v>5</v>
      </c>
      <c r="D66" s="3" t="s">
        <v>6</v>
      </c>
      <c r="E66" s="3" t="s">
        <v>7</v>
      </c>
    </row>
    <row r="67" spans="1:5">
      <c r="A67" s="1">
        <v>4.8</v>
      </c>
      <c r="B67" s="1"/>
      <c r="C67">
        <f>AVERAGE(A2:A101)</f>
        <v>4.97</v>
      </c>
      <c r="D67">
        <f>_xlfn.VAR.S(A2:A101)</f>
        <v>7.4546464646464576</v>
      </c>
      <c r="E67" s="2">
        <f>_xlfn.STDEV.S(A2:A101)</f>
        <v>2.7303198465832641</v>
      </c>
    </row>
    <row r="68" spans="1:5">
      <c r="A68" s="1">
        <v>8.5</v>
      </c>
      <c r="B68" s="1"/>
    </row>
    <row r="69" spans="1:5">
      <c r="A69" s="1">
        <v>9.5</v>
      </c>
      <c r="B69" s="1"/>
    </row>
    <row r="70" spans="1:5">
      <c r="A70" s="1">
        <v>5</v>
      </c>
      <c r="B70" s="1"/>
    </row>
    <row r="71" spans="1:5">
      <c r="A71" s="1">
        <v>6.8</v>
      </c>
      <c r="B71" s="1"/>
    </row>
    <row r="72" spans="1:5">
      <c r="A72" s="1">
        <v>1.1000000000000001</v>
      </c>
      <c r="B72" s="1"/>
    </row>
    <row r="73" spans="1:5">
      <c r="A73" s="1">
        <v>7.2</v>
      </c>
      <c r="B73" s="1"/>
    </row>
    <row r="74" spans="1:5">
      <c r="A74" s="1">
        <v>6.6</v>
      </c>
      <c r="B74" s="1"/>
    </row>
    <row r="75" spans="1:5">
      <c r="A75" s="1">
        <v>9.9</v>
      </c>
      <c r="B75" s="1"/>
    </row>
    <row r="76" spans="1:5">
      <c r="A76" s="1">
        <v>8.3000000000000007</v>
      </c>
      <c r="B76" s="1"/>
    </row>
    <row r="77" spans="1:5">
      <c r="A77" s="1">
        <v>3.2</v>
      </c>
      <c r="B77" s="1"/>
    </row>
    <row r="78" spans="1:5">
      <c r="A78" s="1">
        <v>4.2</v>
      </c>
      <c r="B78" s="1"/>
    </row>
    <row r="79" spans="1:5">
      <c r="A79" s="1">
        <v>6.9</v>
      </c>
      <c r="B79" s="1"/>
    </row>
    <row r="80" spans="1:5">
      <c r="A80" s="1">
        <v>0.7</v>
      </c>
      <c r="B80" s="1"/>
    </row>
    <row r="81" spans="1:2">
      <c r="A81" s="1">
        <v>4.9000000000000004</v>
      </c>
      <c r="B81" s="1"/>
    </row>
    <row r="82" spans="1:2">
      <c r="A82" s="1">
        <v>2.1</v>
      </c>
      <c r="B82" s="1"/>
    </row>
    <row r="83" spans="1:2">
      <c r="A83" s="1">
        <v>1.6</v>
      </c>
      <c r="B83" s="1"/>
    </row>
    <row r="84" spans="1:2">
      <c r="A84" s="1">
        <v>1.1000000000000001</v>
      </c>
      <c r="B84" s="1"/>
    </row>
    <row r="85" spans="1:2">
      <c r="A85" s="1">
        <v>7.8</v>
      </c>
      <c r="B85" s="1"/>
    </row>
    <row r="86" spans="1:2">
      <c r="A86" s="1">
        <v>1.7</v>
      </c>
      <c r="B86" s="1"/>
    </row>
    <row r="87" spans="1:2">
      <c r="A87" s="1">
        <v>2.9</v>
      </c>
      <c r="B87" s="1"/>
    </row>
    <row r="88" spans="1:2">
      <c r="A88" s="1">
        <v>4.2</v>
      </c>
      <c r="B88" s="1"/>
    </row>
    <row r="89" spans="1:2">
      <c r="A89" s="1">
        <v>8.8000000000000007</v>
      </c>
      <c r="B89" s="1"/>
    </row>
    <row r="90" spans="1:2">
      <c r="A90" s="1">
        <v>1.3</v>
      </c>
      <c r="B90" s="1"/>
    </row>
    <row r="91" spans="1:2">
      <c r="A91" s="1">
        <v>4.8</v>
      </c>
      <c r="B91" s="1"/>
    </row>
    <row r="92" spans="1:2">
      <c r="A92" s="1">
        <v>5.7</v>
      </c>
      <c r="B92" s="1"/>
    </row>
    <row r="93" spans="1:2">
      <c r="A93" s="1">
        <v>8.9</v>
      </c>
      <c r="B93" s="1"/>
    </row>
    <row r="94" spans="1:2">
      <c r="A94" s="1">
        <v>8.3000000000000007</v>
      </c>
      <c r="B94" s="1"/>
    </row>
    <row r="95" spans="1:2">
      <c r="A95" s="1">
        <v>8.6999999999999993</v>
      </c>
      <c r="B95" s="1"/>
    </row>
    <row r="96" spans="1:2">
      <c r="A96" s="1">
        <v>3.1</v>
      </c>
      <c r="B96" s="1"/>
    </row>
    <row r="97" spans="1:2">
      <c r="A97" s="1">
        <v>4.4000000000000004</v>
      </c>
      <c r="B97" s="1"/>
    </row>
    <row r="98" spans="1:2">
      <c r="A98" s="1">
        <v>3.9</v>
      </c>
      <c r="B98" s="1"/>
    </row>
    <row r="99" spans="1:2">
      <c r="A99" s="1">
        <v>8.9</v>
      </c>
      <c r="B99" s="1"/>
    </row>
    <row r="100" spans="1:2">
      <c r="A100" s="1">
        <v>9.6</v>
      </c>
      <c r="B100" s="1"/>
    </row>
    <row r="101" spans="1:2">
      <c r="A101" s="1">
        <v>1.9</v>
      </c>
      <c r="B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đức</dc:creator>
  <cp:lastModifiedBy>phạm đức</cp:lastModifiedBy>
  <dcterms:created xsi:type="dcterms:W3CDTF">2025-12-27T08:56:26Z</dcterms:created>
  <dcterms:modified xsi:type="dcterms:W3CDTF">2025-12-27T09:55:01Z</dcterms:modified>
</cp:coreProperties>
</file>