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TT\XSTK &amp; PTDL\"/>
    </mc:Choice>
  </mc:AlternateContent>
  <xr:revisionPtr revIDLastSave="0" documentId="8_{4E6344DD-9BF4-4B7B-81C9-2A389831FDF4}" xr6:coauthVersionLast="47" xr6:coauthVersionMax="47" xr10:uidLastSave="{00000000-0000-0000-0000-000000000000}"/>
  <bookViews>
    <workbookView xWindow="-108" yWindow="-108" windowWidth="23256" windowHeight="12456" xr2:uid="{73BFBADE-6CE1-468E-B7CB-AA26FBBA4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1" i="1"/>
  <c r="B18" i="1"/>
  <c r="B17" i="1"/>
  <c r="B16" i="1"/>
  <c r="B15" i="1"/>
  <c r="B10" i="1"/>
  <c r="B9" i="1"/>
  <c r="B6" i="1"/>
  <c r="B5" i="1"/>
  <c r="B8" i="1"/>
  <c r="B4" i="1"/>
  <c r="B3" i="1"/>
  <c r="B2" i="1"/>
  <c r="B1" i="1"/>
</calcChain>
</file>

<file path=xl/sharedStrings.xml><?xml version="1.0" encoding="utf-8"?>
<sst xmlns="http://schemas.openxmlformats.org/spreadsheetml/2006/main" count="14" uniqueCount="14">
  <si>
    <t>bài 1:</t>
  </si>
  <si>
    <t>Bài 2:</t>
  </si>
  <si>
    <t>Bài 3:</t>
  </si>
  <si>
    <t>bài 4:</t>
  </si>
  <si>
    <t>0,9192</t>
  </si>
  <si>
    <t>Bài 5:</t>
  </si>
  <si>
    <t>Bài 6:</t>
  </si>
  <si>
    <t>Bài 7:</t>
  </si>
  <si>
    <t>Bài 8:</t>
  </si>
  <si>
    <t>m</t>
  </si>
  <si>
    <t>M</t>
  </si>
  <si>
    <t>X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</si>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</sst>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9AAB-D083-4161-A3D5-35C039ADDBCA}">
  <dimension ref="A1:F18"/>
  <sheetViews>
    <sheetView tabSelected="1" workbookViewId="0">
      <selection activeCell="E17" sqref="E17"/>
    </sheetView>
  </sheetViews>
  <sheetFormatPr defaultRowHeight="14.4" x14ac:dyDescent="0.3"/>
  <sheetData>
    <row r="1" spans="1:6" x14ac:dyDescent="0.3">
      <c r="A1" t="s">
        <v>0</v>
      </c>
      <c r="B1" s="1">
        <f>_xlfn.BINOM.DIST(8, 12, 0.7, FALSE)</f>
        <v>0.23113969609500007</v>
      </c>
    </row>
    <row r="2" spans="1:6" x14ac:dyDescent="0.3">
      <c r="B2" s="1">
        <f>_xlfn.BINOM.DIST(9, 12, 0.7, TRUE)</f>
        <v>0.74718465214500007</v>
      </c>
    </row>
    <row r="3" spans="1:6" x14ac:dyDescent="0.3">
      <c r="A3" t="s">
        <v>1</v>
      </c>
      <c r="B3" s="1">
        <f>_xlfn.POISSON.DIST(3, 2.5, FALSE)</f>
        <v>0.21376301724973648</v>
      </c>
    </row>
    <row r="4" spans="1:6" x14ac:dyDescent="0.3">
      <c r="B4" s="1">
        <f>_xlfn.POISSON.DIST(2, 2.5, TRUE)</f>
        <v>0.54381311588332959</v>
      </c>
    </row>
    <row r="5" spans="1:6" x14ac:dyDescent="0.3">
      <c r="A5" t="s">
        <v>2</v>
      </c>
      <c r="B5" s="1">
        <f>_xlfn.NORM.DIST(1300, 1200, 100, TRUE)</f>
        <v>0.84134474606854304</v>
      </c>
    </row>
    <row r="6" spans="1:6" x14ac:dyDescent="0.3">
      <c r="B6" s="1">
        <f>_xlfn.NORM.DIST(1250, 1200, 100, TRUE) - _xlfn.NORM.DIST(1100, 1200, 100, TRUE)</f>
        <v>0.53280720734255616</v>
      </c>
    </row>
    <row r="7" spans="1:6" x14ac:dyDescent="0.3">
      <c r="A7" t="s">
        <v>3</v>
      </c>
      <c r="B7" s="2" t="s">
        <v>4</v>
      </c>
    </row>
    <row r="8" spans="1:6" x14ac:dyDescent="0.3">
      <c r="B8" s="1">
        <f>_xlfn.NORM.S.DIST(1.4, TRUE)</f>
        <v>0.91924334076622893</v>
      </c>
    </row>
    <row r="9" spans="1:6" x14ac:dyDescent="0.3">
      <c r="A9" t="s">
        <v>5</v>
      </c>
      <c r="B9" s="1">
        <f>_xlfn.T.DIST(2.12, 15, TRUE)</f>
        <v>0.97445349581525154</v>
      </c>
    </row>
    <row r="10" spans="1:6" x14ac:dyDescent="0.3">
      <c r="B10" s="1">
        <f>_xlfn.T.INV(0.95, 15)</f>
        <v>1.7530503556925723</v>
      </c>
    </row>
    <row r="11" spans="1:6" x14ac:dyDescent="0.3">
      <c r="A11" t="s">
        <v>6</v>
      </c>
      <c r="B11" s="1">
        <f>(F12-D12)/(E12-D12)</f>
        <v>0.2</v>
      </c>
      <c r="D11" t="s">
        <v>9</v>
      </c>
      <c r="E11" t="s">
        <v>10</v>
      </c>
      <c r="F11" t="s">
        <v>11</v>
      </c>
    </row>
    <row r="12" spans="1:6" x14ac:dyDescent="0.3">
      <c r="B12" s="1"/>
      <c r="D12">
        <v>4</v>
      </c>
      <c r="E12">
        <v>14</v>
      </c>
      <c r="F12">
        <v>6</v>
      </c>
    </row>
    <row r="13" spans="1:6" x14ac:dyDescent="0.3">
      <c r="B13" s="1">
        <f>(E14-D14)/(E12-D12)</f>
        <v>0.4</v>
      </c>
      <c r="D13" t="s">
        <v>12</v>
      </c>
      <c r="E13" t="s">
        <v>13</v>
      </c>
    </row>
    <row r="14" spans="1:6" x14ac:dyDescent="0.3">
      <c r="D14">
        <v>8</v>
      </c>
      <c r="E14">
        <v>12</v>
      </c>
    </row>
    <row r="15" spans="1:6" x14ac:dyDescent="0.3">
      <c r="A15" t="s">
        <v>7</v>
      </c>
      <c r="B15" s="1">
        <f>_xlfn.CHISQ.DIST(10.64, 6, TRUE)</f>
        <v>0.89983945993987757</v>
      </c>
    </row>
    <row r="16" spans="1:6" x14ac:dyDescent="0.3">
      <c r="B16" s="1">
        <f>_xlfn.CHISQ.INV(0.95, 6)</f>
        <v>12.591587243743977</v>
      </c>
    </row>
    <row r="17" spans="1:2" x14ac:dyDescent="0.3">
      <c r="A17" t="s">
        <v>8</v>
      </c>
      <c r="B17" s="1">
        <f>_xlfn.F.DIST(3.12, 4, 9, TRUE)</f>
        <v>0.92789119547700227</v>
      </c>
    </row>
    <row r="18" spans="1:2" x14ac:dyDescent="0.3">
      <c r="B18" s="1">
        <f>_xlfn.F.INV(0.95, 4, 9)</f>
        <v>3.6330885114190798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</dc:creator>
  <cp:lastModifiedBy>phạm đức</cp:lastModifiedBy>
  <dcterms:created xsi:type="dcterms:W3CDTF">2025-12-20T04:04:36Z</dcterms:created>
  <dcterms:modified xsi:type="dcterms:W3CDTF">2025-12-20T04:20:59Z</dcterms:modified>
</cp:coreProperties>
</file>