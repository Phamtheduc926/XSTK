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<sst xmlns="http://schemas.openxmlformats.org/spreadsheetml/2006/main" count="68" uniqueCount="56">
  <si>
    <t>x_i</t>
  </si>
  <si>
    <t>y_i</t>
  </si>
  <si>
    <t>x_i-x ngang</t>
  </si>
  <si>
    <t>y_i - y ngang</t>
  </si>
  <si>
    <t>(y_i - y ngang)</t>
  </si>
  <si>
    <t>(x_i -x ngang)*(y_i - y ngang)</t>
  </si>
  <si>
    <t>(x_i -x ngang)^2</t>
  </si>
  <si>
    <t>y^</t>
  </si>
  <si>
    <t>e=y=y^</t>
  </si>
  <si>
    <t>e^2</t>
  </si>
  <si>
    <t xml:space="preserve">Tổng </t>
  </si>
  <si>
    <t xml:space="preserve">trung bình </t>
  </si>
  <si>
    <t xml:space="preserve">Beta 1 </t>
  </si>
  <si>
    <t xml:space="preserve">Beta 0 </t>
  </si>
  <si>
    <t xml:space="preserve">PT hồi quy </t>
  </si>
  <si>
    <t>y^=2+x</t>
  </si>
  <si>
    <t>SSE</t>
  </si>
  <si>
    <t>SST</t>
  </si>
  <si>
    <t>R^2</t>
  </si>
  <si>
    <t>MSE</t>
  </si>
  <si>
    <t xml:space="preserve">Mô hình hoàn hảo </t>
  </si>
  <si>
    <t xml:space="preserve">Thu nhập (X) </t>
  </si>
  <si>
    <t xml:space="preserve">Chi tiêu ( Y ) </t>
  </si>
  <si>
    <t xml:space="preserve"> x_i - x ngang</t>
  </si>
  <si>
    <t>(y_i - y ngang)^2</t>
  </si>
  <si>
    <t>tổng</t>
  </si>
  <si>
    <t>Beta 1</t>
  </si>
  <si>
    <t>Beta 0</t>
  </si>
  <si>
    <t>PT hồi quy</t>
  </si>
  <si>
    <t>y^=+x</t>
  </si>
  <si>
    <t xml:space="preserve">Đây không phải mô hình hoàn hảo </t>
  </si>
  <si>
    <t>SUMMARY OUTPUT</t>
  </si>
  <si>
    <t>Regression Statistics</t>
  </si>
  <si>
    <t>Multiple R</t>
  </si>
  <si>
    <t xml:space="preserve">R Square ( R^2 ) 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</si>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</sst>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sz val="11"/>
      <color indexed="8"/>
      <name val="Aptos Narrow"/>
      <charset val="134"/>
    </font>
    <font>
      <i/>
      <sz val="11"/>
      <color indexed="8"/>
      <name val="Aptos Narrow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7" applyNumberFormat="0" applyAlignment="0" applyProtection="0">
      <alignment vertical="center"/>
    </xf>
    <xf numFmtId="0" fontId="13" fillId="4" borderId="18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5" borderId="19" applyNumberFormat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0" fontId="1" fillId="0" borderId="4" xfId="0" applyNumberFormat="1" applyFont="1" applyFill="1" applyBorder="1" applyAlignment="1" applyProtection="1"/>
    <xf numFmtId="0" fontId="1" fillId="0" borderId="5" xfId="0" applyNumberFormat="1" applyFont="1" applyFill="1" applyBorder="1" applyAlignment="1" applyProtection="1"/>
    <xf numFmtId="0" fontId="1" fillId="0" borderId="6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1" fillId="0" borderId="7" xfId="0" applyNumberFormat="1" applyFont="1" applyFill="1" applyBorder="1" applyAlignment="1" applyProtection="1"/>
    <xf numFmtId="0" fontId="1" fillId="0" borderId="8" xfId="0" applyNumberFormat="1" applyFont="1" applyFill="1" applyBorder="1" applyAlignment="1" applyProtection="1"/>
    <xf numFmtId="0" fontId="1" fillId="0" borderId="9" xfId="0" applyNumberFormat="1" applyFont="1" applyFill="1" applyBorder="1" applyAlignment="1" applyProtection="1"/>
    <xf numFmtId="0" fontId="1" fillId="0" borderId="10" xfId="0" applyNumberFormat="1" applyFont="1" applyFill="1" applyBorder="1" applyAlignment="1" applyProtection="1"/>
    <xf numFmtId="0" fontId="1" fillId="0" borderId="11" xfId="0" applyNumberFormat="1" applyFont="1" applyFill="1" applyBorder="1" applyAlignment="1" applyProtection="1"/>
    <xf numFmtId="0" fontId="2" fillId="0" borderId="12" xfId="0" applyNumberFormat="1" applyFont="1" applyFill="1" applyBorder="1" applyAlignment="1" applyProtection="1">
      <alignment horizontal="centerContinuous"/>
    </xf>
    <xf numFmtId="0" fontId="1" fillId="0" borderId="13" xfId="0" applyNumberFormat="1" applyFont="1" applyFill="1" applyBorder="1" applyAlignment="1" applyProtection="1"/>
    <xf numFmtId="0" fontId="2" fillId="0" borderId="12" xfId="0" applyNumberFormat="1" applyFont="1" applyFill="1" applyBorder="1" applyAlignment="1" applyProtection="1">
      <alignment horizontal="center"/>
    </xf>
    <xf numFmtId="2" fontId="1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59"/>
  <sheetViews>
    <sheetView tabSelected="1" zoomScale="70" zoomScaleNormal="70" workbookViewId="0">
      <selection activeCell="J13" sqref="J13"/>
    </sheetView>
  </sheetViews>
  <sheetFormatPr defaultColWidth="9" defaultRowHeight="14.4"/>
  <cols>
    <col min="1" max="1" width="21.8888888888889" customWidth="1"/>
    <col min="2" max="2" width="13.3333333333333" customWidth="1"/>
    <col min="3" max="3" width="10.2222222222222" customWidth="1"/>
    <col min="4" max="5" width="10.8888888888889" customWidth="1"/>
    <col min="6" max="6" width="14.5555555555556" customWidth="1"/>
    <col min="7" max="7" width="24.6666666666667" customWidth="1"/>
    <col min="8" max="8" width="14.5555555555556" customWidth="1"/>
    <col min="9" max="9" width="13.3333333333333" customWidth="1"/>
    <col min="10" max="10" width="13.8888888888889" customWidth="1"/>
    <col min="11" max="11" width="13.3333333333333" customWidth="1"/>
  </cols>
  <sheetData>
    <row r="1" spans="1:1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</row>
    <row r="2" spans="1:11">
      <c r="A2" s="1"/>
      <c r="B2" s="2">
        <v>2</v>
      </c>
      <c r="C2" s="2">
        <v>4</v>
      </c>
      <c r="D2" s="2">
        <f>B2-$B$8</f>
        <v>-2</v>
      </c>
      <c r="E2" s="2">
        <f>C2-$C$8</f>
        <v>-2</v>
      </c>
      <c r="F2" s="2">
        <f>E2^2</f>
        <v>4</v>
      </c>
      <c r="G2" s="2">
        <f>D2*E2</f>
        <v>4</v>
      </c>
      <c r="H2" s="3">
        <f>D2^2</f>
        <v>4</v>
      </c>
      <c r="I2" s="12">
        <f>2+B2</f>
        <v>4</v>
      </c>
      <c r="J2" s="3">
        <f>C2-I2</f>
        <v>0</v>
      </c>
      <c r="K2" s="3">
        <f>J2^2</f>
        <v>0</v>
      </c>
    </row>
    <row r="3" spans="1:11">
      <c r="A3" s="1"/>
      <c r="B3" s="3">
        <v>3</v>
      </c>
      <c r="C3" s="3">
        <v>5</v>
      </c>
      <c r="D3" s="2">
        <f>B3-$B$8</f>
        <v>-1</v>
      </c>
      <c r="E3" s="2">
        <f>C3-$C$8</f>
        <v>-1</v>
      </c>
      <c r="F3" s="2">
        <f>E3^2</f>
        <v>1</v>
      </c>
      <c r="G3" s="2">
        <f>D3*E3</f>
        <v>1</v>
      </c>
      <c r="H3" s="3">
        <f>D3^2</f>
        <v>1</v>
      </c>
      <c r="I3" s="12">
        <f>2+B3</f>
        <v>5</v>
      </c>
      <c r="J3" s="3">
        <f>C3-I3</f>
        <v>0</v>
      </c>
      <c r="K3" s="3">
        <f>J3^2</f>
        <v>0</v>
      </c>
    </row>
    <row r="4" spans="1:11">
      <c r="A4" s="1"/>
      <c r="B4" s="4">
        <v>4</v>
      </c>
      <c r="C4" s="2">
        <v>6</v>
      </c>
      <c r="D4" s="2">
        <f>B4-$B$8</f>
        <v>0</v>
      </c>
      <c r="E4" s="2">
        <f>C4-$C$8</f>
        <v>0</v>
      </c>
      <c r="F4" s="2">
        <f>E4^2</f>
        <v>0</v>
      </c>
      <c r="G4" s="2">
        <f>D4*E4</f>
        <v>0</v>
      </c>
      <c r="H4" s="3">
        <f>D4^2</f>
        <v>0</v>
      </c>
      <c r="I4" s="12">
        <f>2+B4</f>
        <v>6</v>
      </c>
      <c r="J4" s="3">
        <f>C4-I4</f>
        <v>0</v>
      </c>
      <c r="K4" s="3">
        <f>J4^2</f>
        <v>0</v>
      </c>
    </row>
    <row r="5" spans="1:11">
      <c r="A5" s="1"/>
      <c r="B5" s="4">
        <v>5</v>
      </c>
      <c r="C5" s="4">
        <v>7</v>
      </c>
      <c r="D5" s="2">
        <f>B5-$B$8</f>
        <v>1</v>
      </c>
      <c r="E5" s="2">
        <f>C5-$C$8</f>
        <v>1</v>
      </c>
      <c r="F5" s="2">
        <f>E5^2</f>
        <v>1</v>
      </c>
      <c r="G5" s="2">
        <f>D5*E5</f>
        <v>1</v>
      </c>
      <c r="H5" s="3">
        <f>D5^2</f>
        <v>1</v>
      </c>
      <c r="I5" s="12">
        <f>2+B5</f>
        <v>7</v>
      </c>
      <c r="J5" s="3">
        <f>C5-I5</f>
        <v>0</v>
      </c>
      <c r="K5" s="3">
        <f>J5^2</f>
        <v>0</v>
      </c>
    </row>
    <row r="6" spans="1:11">
      <c r="A6" s="5"/>
      <c r="B6" s="6">
        <v>6</v>
      </c>
      <c r="C6" s="6">
        <v>8</v>
      </c>
      <c r="D6" s="2">
        <f>B6-$B$8</f>
        <v>2</v>
      </c>
      <c r="E6" s="2">
        <f>C6-$C$8</f>
        <v>2</v>
      </c>
      <c r="F6" s="2">
        <f>E6^2</f>
        <v>4</v>
      </c>
      <c r="G6" s="2">
        <f>D6*E6</f>
        <v>4</v>
      </c>
      <c r="H6" s="3">
        <f>D6^2</f>
        <v>4</v>
      </c>
      <c r="I6" s="12">
        <f>2+B6</f>
        <v>8</v>
      </c>
      <c r="J6" s="3">
        <f>C6-I6</f>
        <v>0</v>
      </c>
      <c r="K6" s="3">
        <f>J6^2</f>
        <v>0</v>
      </c>
    </row>
    <row r="7" spans="1:11">
      <c r="A7" s="7" t="s">
        <v>10</v>
      </c>
      <c r="B7" s="3">
        <f>SUM(B2:B6)</f>
        <v>20</v>
      </c>
      <c r="C7" s="3">
        <f>SUM(C2:C6)</f>
        <v>30</v>
      </c>
      <c r="D7" s="8"/>
      <c r="E7" s="6"/>
      <c r="F7" s="6"/>
      <c r="G7" s="6">
        <f>SUM(G2:G6)</f>
        <v>10</v>
      </c>
      <c r="H7" s="9">
        <f>SUM(H2:H6)</f>
        <v>10</v>
      </c>
      <c r="I7" s="11"/>
      <c r="J7" s="9"/>
      <c r="K7" s="9"/>
    </row>
    <row r="8" spans="1:11">
      <c r="A8" s="7" t="s">
        <v>11</v>
      </c>
      <c r="B8" s="3">
        <f>AVERAGE(B2:B6)</f>
        <v>4</v>
      </c>
      <c r="C8" s="3">
        <f>AVERAGE(C2:C6)</f>
        <v>6</v>
      </c>
      <c r="D8" s="7"/>
      <c r="E8" s="7"/>
      <c r="F8" s="7"/>
      <c r="G8" s="7"/>
      <c r="H8" s="7"/>
      <c r="I8" s="7"/>
      <c r="J8" s="7"/>
      <c r="K8" s="7"/>
    </row>
    <row r="9" spans="1:11">
      <c r="A9" s="7" t="s">
        <v>12</v>
      </c>
      <c r="B9" s="3">
        <f>G7/H7</f>
        <v>1</v>
      </c>
      <c r="C9" s="3"/>
      <c r="D9" s="7"/>
      <c r="E9" s="7"/>
      <c r="F9" s="7"/>
      <c r="G9" s="7"/>
      <c r="H9" s="7"/>
      <c r="I9" s="7"/>
      <c r="J9" s="7"/>
      <c r="K9" s="7"/>
    </row>
    <row r="10" spans="1:11">
      <c r="A10" s="7" t="s">
        <v>13</v>
      </c>
      <c r="B10" s="3">
        <f>C8-B9*B8</f>
        <v>2</v>
      </c>
      <c r="C10" s="3"/>
      <c r="D10" s="7"/>
      <c r="E10" s="7"/>
      <c r="F10" s="7"/>
      <c r="G10" s="7"/>
      <c r="H10" s="7"/>
      <c r="I10" s="7"/>
      <c r="J10" s="7"/>
      <c r="K10" s="7"/>
    </row>
    <row r="11" spans="1:11">
      <c r="A11" s="7" t="s">
        <v>14</v>
      </c>
      <c r="B11" s="3" t="s">
        <v>15</v>
      </c>
      <c r="C11" s="3"/>
      <c r="D11" s="7"/>
      <c r="E11" s="7"/>
      <c r="F11" s="7"/>
      <c r="G11" s="7"/>
      <c r="H11" s="7"/>
      <c r="I11" s="7"/>
      <c r="J11" s="7"/>
      <c r="K11" s="7"/>
    </row>
    <row r="12" spans="1:11">
      <c r="A12" s="7" t="s">
        <v>16</v>
      </c>
      <c r="B12" s="3">
        <f>SUM(K2:K6)</f>
        <v>0</v>
      </c>
      <c r="C12" s="3"/>
      <c r="D12" s="7"/>
      <c r="E12" s="7"/>
      <c r="F12" s="7"/>
      <c r="G12" s="7"/>
      <c r="H12" s="7"/>
      <c r="I12" s="7"/>
      <c r="J12" s="7"/>
      <c r="K12" s="7"/>
    </row>
    <row r="13" spans="1:11">
      <c r="A13" s="7" t="s">
        <v>17</v>
      </c>
      <c r="B13" s="3">
        <f>SUM(F2:F6)</f>
        <v>10</v>
      </c>
      <c r="C13" s="3"/>
      <c r="D13" s="7"/>
      <c r="E13" s="7"/>
      <c r="F13" s="7"/>
      <c r="G13" s="7"/>
      <c r="H13" s="7"/>
      <c r="I13" s="7"/>
      <c r="J13" s="7"/>
      <c r="K13" s="7"/>
    </row>
    <row r="14" spans="1:11">
      <c r="A14" s="7" t="s">
        <v>18</v>
      </c>
      <c r="B14" s="3">
        <f>1-B12/B13</f>
        <v>1</v>
      </c>
      <c r="C14" s="3"/>
      <c r="D14" s="7"/>
      <c r="E14" s="7"/>
      <c r="F14" s="7"/>
      <c r="G14" s="7"/>
      <c r="H14" s="7"/>
      <c r="I14" s="7"/>
      <c r="J14" s="7"/>
      <c r="K14" s="7"/>
    </row>
    <row r="15" spans="1:11">
      <c r="A15" s="7" t="s">
        <v>19</v>
      </c>
      <c r="B15" s="3">
        <f>B12/5</f>
        <v>0</v>
      </c>
      <c r="C15" s="3"/>
      <c r="D15" s="7"/>
      <c r="E15" s="7"/>
      <c r="F15" s="7"/>
      <c r="G15" s="7"/>
      <c r="H15" s="7"/>
      <c r="I15" s="7"/>
      <c r="J15" s="7"/>
      <c r="K15" s="7"/>
    </row>
    <row r="16" spans="1:11">
      <c r="A16" s="7" t="s">
        <v>20</v>
      </c>
      <c r="B16" s="7"/>
      <c r="C16" s="7"/>
      <c r="D16" s="7"/>
      <c r="E16" s="7"/>
      <c r="F16" s="7"/>
      <c r="G16" s="7"/>
      <c r="H16" s="7"/>
      <c r="I16" s="7"/>
      <c r="J16" s="7"/>
      <c r="K16" s="7"/>
    </row>
    <row r="20" spans="1:11">
      <c r="A20" s="10"/>
      <c r="B20" s="3" t="s">
        <v>21</v>
      </c>
      <c r="C20" s="3" t="s">
        <v>22</v>
      </c>
      <c r="D20" s="3" t="s">
        <v>23</v>
      </c>
      <c r="E20" s="3" t="s">
        <v>3</v>
      </c>
      <c r="F20" s="3" t="s">
        <v>24</v>
      </c>
      <c r="G20" s="3" t="s">
        <v>5</v>
      </c>
      <c r="H20" s="3" t="s">
        <v>6</v>
      </c>
      <c r="I20" s="3" t="s">
        <v>7</v>
      </c>
      <c r="J20" s="3" t="s">
        <v>8</v>
      </c>
      <c r="K20" s="3" t="s">
        <v>9</v>
      </c>
    </row>
    <row r="21" spans="1:11">
      <c r="A21" s="11"/>
      <c r="B21" s="3">
        <v>8</v>
      </c>
      <c r="C21" s="3">
        <v>8</v>
      </c>
      <c r="D21" s="3">
        <f t="shared" ref="D21:D30" si="0">B21-$B$32</f>
        <v>-6.6</v>
      </c>
      <c r="E21" s="3">
        <f t="shared" ref="E21:E30" si="1">C21-$C$32</f>
        <v>-4.5</v>
      </c>
      <c r="F21" s="3">
        <f t="shared" ref="F21:F30" si="2">E21^2</f>
        <v>20.25</v>
      </c>
      <c r="G21" s="3">
        <f t="shared" ref="G21:G30" si="3">D21*E21</f>
        <v>29.7</v>
      </c>
      <c r="H21" s="3">
        <f t="shared" ref="H21:H30" si="4">D21^2</f>
        <v>43.56</v>
      </c>
      <c r="I21" s="3">
        <f t="shared" ref="I21:I30" si="5">$B$34+$B$33*B21</f>
        <v>8.90551181102362</v>
      </c>
      <c r="J21" s="3">
        <f t="shared" ref="J21:J30" si="6">C21-I21</f>
        <v>-0.905511811023622</v>
      </c>
      <c r="K21" s="3">
        <f t="shared" ref="K21:K30" si="7">J21^2</f>
        <v>0.81995163990328</v>
      </c>
    </row>
    <row r="22" spans="1:11">
      <c r="A22" s="11"/>
      <c r="B22" s="3">
        <v>10</v>
      </c>
      <c r="C22" s="3">
        <v>11</v>
      </c>
      <c r="D22" s="3">
        <f t="shared" si="0"/>
        <v>-4.6</v>
      </c>
      <c r="E22" s="3">
        <f t="shared" si="1"/>
        <v>-1.5</v>
      </c>
      <c r="F22" s="3">
        <f t="shared" si="2"/>
        <v>2.25</v>
      </c>
      <c r="G22" s="3">
        <f t="shared" si="3"/>
        <v>6.9</v>
      </c>
      <c r="H22" s="3">
        <f t="shared" si="4"/>
        <v>21.16</v>
      </c>
      <c r="I22" s="3">
        <f t="shared" si="5"/>
        <v>9.99475065616798</v>
      </c>
      <c r="J22" s="3">
        <f t="shared" si="6"/>
        <v>1.00524934383202</v>
      </c>
      <c r="K22" s="3">
        <f t="shared" si="7"/>
        <v>1.01052624327471</v>
      </c>
    </row>
    <row r="23" spans="1:11">
      <c r="A23" s="11"/>
      <c r="B23" s="3">
        <v>12</v>
      </c>
      <c r="C23" s="3">
        <v>11</v>
      </c>
      <c r="D23" s="3">
        <f t="shared" si="0"/>
        <v>-2.6</v>
      </c>
      <c r="E23" s="3">
        <f t="shared" si="1"/>
        <v>-1.5</v>
      </c>
      <c r="F23" s="3">
        <f t="shared" si="2"/>
        <v>2.25</v>
      </c>
      <c r="G23" s="3">
        <f t="shared" si="3"/>
        <v>3.9</v>
      </c>
      <c r="H23" s="3">
        <f t="shared" si="4"/>
        <v>6.76</v>
      </c>
      <c r="I23" s="3">
        <f t="shared" si="5"/>
        <v>11.0839895013123</v>
      </c>
      <c r="J23" s="3">
        <f t="shared" si="6"/>
        <v>-0.0839895013123346</v>
      </c>
      <c r="K23" s="3">
        <f t="shared" si="7"/>
        <v>0.00705423633069466</v>
      </c>
    </row>
    <row r="24" spans="1:11">
      <c r="A24" s="11"/>
      <c r="B24" s="3">
        <v>12</v>
      </c>
      <c r="C24" s="3">
        <v>10</v>
      </c>
      <c r="D24" s="3">
        <f t="shared" si="0"/>
        <v>-2.6</v>
      </c>
      <c r="E24" s="3">
        <f t="shared" si="1"/>
        <v>-2.5</v>
      </c>
      <c r="F24" s="3">
        <f t="shared" si="2"/>
        <v>6.25</v>
      </c>
      <c r="G24" s="3">
        <f t="shared" si="3"/>
        <v>6.5</v>
      </c>
      <c r="H24" s="3">
        <f t="shared" si="4"/>
        <v>6.76</v>
      </c>
      <c r="I24" s="3">
        <f t="shared" si="5"/>
        <v>11.0839895013123</v>
      </c>
      <c r="J24" s="3">
        <f t="shared" si="6"/>
        <v>-1.08398950131233</v>
      </c>
      <c r="K24" s="3">
        <f t="shared" si="7"/>
        <v>1.17503323895536</v>
      </c>
    </row>
    <row r="25" spans="1:11">
      <c r="A25" s="11"/>
      <c r="B25" s="3">
        <v>14</v>
      </c>
      <c r="C25" s="3">
        <v>14</v>
      </c>
      <c r="D25" s="3">
        <f t="shared" si="0"/>
        <v>-0.6</v>
      </c>
      <c r="E25" s="3">
        <f t="shared" si="1"/>
        <v>1.5</v>
      </c>
      <c r="F25" s="3">
        <f t="shared" si="2"/>
        <v>2.25</v>
      </c>
      <c r="G25" s="3">
        <f t="shared" si="3"/>
        <v>-0.899999999999999</v>
      </c>
      <c r="H25" s="3">
        <f t="shared" si="4"/>
        <v>0.36</v>
      </c>
      <c r="I25" s="3">
        <f t="shared" si="5"/>
        <v>12.1732283464567</v>
      </c>
      <c r="J25" s="3">
        <f t="shared" si="6"/>
        <v>1.82677165354331</v>
      </c>
      <c r="K25" s="3">
        <f t="shared" si="7"/>
        <v>3.33709467418935</v>
      </c>
    </row>
    <row r="26" spans="1:11">
      <c r="A26" s="11"/>
      <c r="B26" s="3">
        <v>16</v>
      </c>
      <c r="C26" s="3">
        <v>15</v>
      </c>
      <c r="D26" s="3">
        <f t="shared" si="0"/>
        <v>1.4</v>
      </c>
      <c r="E26" s="3">
        <f t="shared" si="1"/>
        <v>2.5</v>
      </c>
      <c r="F26" s="3">
        <f t="shared" si="2"/>
        <v>6.25</v>
      </c>
      <c r="G26" s="3">
        <f t="shared" si="3"/>
        <v>3.5</v>
      </c>
      <c r="H26" s="3">
        <f t="shared" si="4"/>
        <v>1.96</v>
      </c>
      <c r="I26" s="3">
        <f t="shared" si="5"/>
        <v>13.2624671916011</v>
      </c>
      <c r="J26" s="3">
        <f t="shared" si="6"/>
        <v>1.73753280839895</v>
      </c>
      <c r="K26" s="3">
        <f t="shared" si="7"/>
        <v>3.01902026026274</v>
      </c>
    </row>
    <row r="27" spans="1:11">
      <c r="A27" s="11"/>
      <c r="B27" s="3">
        <v>16</v>
      </c>
      <c r="C27" s="3">
        <v>11</v>
      </c>
      <c r="D27" s="3">
        <f t="shared" si="0"/>
        <v>1.4</v>
      </c>
      <c r="E27" s="3">
        <f t="shared" si="1"/>
        <v>-1.5</v>
      </c>
      <c r="F27" s="3">
        <f t="shared" si="2"/>
        <v>2.25</v>
      </c>
      <c r="G27" s="3">
        <f t="shared" si="3"/>
        <v>-2.1</v>
      </c>
      <c r="H27" s="3">
        <f t="shared" si="4"/>
        <v>1.96</v>
      </c>
      <c r="I27" s="3">
        <f t="shared" si="5"/>
        <v>13.2624671916011</v>
      </c>
      <c r="J27" s="3">
        <f t="shared" si="6"/>
        <v>-2.26246719160105</v>
      </c>
      <c r="K27" s="3">
        <f t="shared" si="7"/>
        <v>5.11875779307115</v>
      </c>
    </row>
    <row r="28" spans="1:11">
      <c r="A28" s="11"/>
      <c r="B28" s="3">
        <v>18</v>
      </c>
      <c r="C28" s="3">
        <v>15</v>
      </c>
      <c r="D28" s="3">
        <f t="shared" si="0"/>
        <v>3.4</v>
      </c>
      <c r="E28" s="3">
        <f t="shared" si="1"/>
        <v>2.5</v>
      </c>
      <c r="F28" s="3">
        <f t="shared" si="2"/>
        <v>6.25</v>
      </c>
      <c r="G28" s="3">
        <f t="shared" si="3"/>
        <v>8.5</v>
      </c>
      <c r="H28" s="3">
        <f t="shared" si="4"/>
        <v>11.56</v>
      </c>
      <c r="I28" s="3">
        <f t="shared" si="5"/>
        <v>14.3517060367454</v>
      </c>
      <c r="J28" s="3">
        <f t="shared" si="6"/>
        <v>0.648293963254595</v>
      </c>
      <c r="K28" s="3">
        <f t="shared" si="7"/>
        <v>0.42028506279235</v>
      </c>
    </row>
    <row r="29" spans="1:11">
      <c r="A29" s="11"/>
      <c r="B29" s="3">
        <v>20</v>
      </c>
      <c r="C29" s="3">
        <v>14</v>
      </c>
      <c r="D29" s="3">
        <f t="shared" si="0"/>
        <v>5.4</v>
      </c>
      <c r="E29" s="3">
        <f t="shared" si="1"/>
        <v>1.5</v>
      </c>
      <c r="F29" s="3">
        <f t="shared" si="2"/>
        <v>2.25</v>
      </c>
      <c r="G29" s="3">
        <f t="shared" si="3"/>
        <v>8.1</v>
      </c>
      <c r="H29" s="3">
        <f t="shared" si="4"/>
        <v>29.16</v>
      </c>
      <c r="I29" s="3">
        <f t="shared" si="5"/>
        <v>15.4409448818898</v>
      </c>
      <c r="J29" s="3">
        <f t="shared" si="6"/>
        <v>-1.44094488188976</v>
      </c>
      <c r="K29" s="3">
        <f t="shared" si="7"/>
        <v>2.0763221526443</v>
      </c>
    </row>
    <row r="30" spans="1:11">
      <c r="A30" s="12"/>
      <c r="B30" s="3">
        <v>20</v>
      </c>
      <c r="C30" s="3">
        <v>16</v>
      </c>
      <c r="D30" s="3">
        <f t="shared" si="0"/>
        <v>5.4</v>
      </c>
      <c r="E30" s="3">
        <f t="shared" si="1"/>
        <v>3.5</v>
      </c>
      <c r="F30" s="3">
        <f t="shared" si="2"/>
        <v>12.25</v>
      </c>
      <c r="G30" s="3">
        <f t="shared" si="3"/>
        <v>18.9</v>
      </c>
      <c r="H30" s="3">
        <f t="shared" si="4"/>
        <v>29.16</v>
      </c>
      <c r="I30" s="3">
        <f t="shared" si="5"/>
        <v>15.4409448818898</v>
      </c>
      <c r="J30" s="3">
        <f t="shared" si="6"/>
        <v>0.559055118110237</v>
      </c>
      <c r="K30" s="3">
        <f t="shared" si="7"/>
        <v>0.312542625085251</v>
      </c>
    </row>
    <row r="31" spans="1:11">
      <c r="A31" s="5" t="s">
        <v>25</v>
      </c>
      <c r="B31" s="5">
        <f>SUM(B21:B30)</f>
        <v>146</v>
      </c>
      <c r="C31" s="5">
        <f>SUM(C21:C30)</f>
        <v>125</v>
      </c>
      <c r="D31" s="7"/>
      <c r="E31" s="7"/>
      <c r="F31" s="7"/>
      <c r="G31" s="7">
        <f>SUM(G21:G30)</f>
        <v>83</v>
      </c>
      <c r="H31" s="7">
        <f>SUM(H21:H30)</f>
        <v>152.4</v>
      </c>
      <c r="I31" s="16"/>
      <c r="J31" s="7"/>
      <c r="K31" s="7"/>
    </row>
    <row r="32" spans="1:11">
      <c r="A32" s="3" t="s">
        <v>11</v>
      </c>
      <c r="B32" s="3">
        <f>AVERAGE(B21:B30)</f>
        <v>14.6</v>
      </c>
      <c r="C32" s="3">
        <f>AVERAGE(C21:C30)</f>
        <v>12.5</v>
      </c>
      <c r="D32" s="7"/>
      <c r="E32" s="7"/>
      <c r="F32" s="7"/>
      <c r="G32" s="7"/>
      <c r="H32" s="7"/>
      <c r="I32" s="7"/>
      <c r="J32" s="7"/>
      <c r="K32" s="7"/>
    </row>
    <row r="33" spans="1:11">
      <c r="A33" s="3" t="s">
        <v>26</v>
      </c>
      <c r="B33" s="3">
        <f>G31/H31</f>
        <v>0.544619422572178</v>
      </c>
      <c r="C33" s="3"/>
      <c r="D33" s="7"/>
      <c r="E33" s="7"/>
      <c r="F33" s="7"/>
      <c r="G33" s="7"/>
      <c r="H33" s="7"/>
      <c r="I33" s="7"/>
      <c r="J33" s="7"/>
      <c r="K33" s="7"/>
    </row>
    <row r="34" spans="1:11">
      <c r="A34" s="3" t="s">
        <v>27</v>
      </c>
      <c r="B34" s="3">
        <f>C32-B33*B32</f>
        <v>4.54855643044619</v>
      </c>
      <c r="C34" s="3"/>
      <c r="D34" s="7"/>
      <c r="E34" s="7"/>
      <c r="F34" s="7"/>
      <c r="G34" s="7"/>
      <c r="H34" s="7"/>
      <c r="I34" s="7"/>
      <c r="J34" s="7"/>
      <c r="K34" s="7"/>
    </row>
    <row r="35" spans="1:11">
      <c r="A35" s="3" t="s">
        <v>28</v>
      </c>
      <c r="B35" s="3" t="s">
        <v>29</v>
      </c>
      <c r="C35" s="3"/>
      <c r="D35" s="7"/>
      <c r="E35" s="7"/>
      <c r="F35" s="7"/>
      <c r="G35" s="7"/>
      <c r="H35" s="7"/>
      <c r="I35" s="7"/>
      <c r="J35" s="7"/>
      <c r="K35" s="7"/>
    </row>
    <row r="36" spans="1:11">
      <c r="A36" s="3" t="s">
        <v>16</v>
      </c>
      <c r="B36" s="3">
        <f>SUM(K21:K30)</f>
        <v>17.2965879265092</v>
      </c>
      <c r="C36" s="3"/>
      <c r="D36" s="7"/>
      <c r="E36" s="7"/>
      <c r="F36" s="7"/>
      <c r="G36" s="7"/>
      <c r="H36" s="7"/>
      <c r="I36" s="7"/>
      <c r="J36" s="7"/>
      <c r="K36" s="7"/>
    </row>
    <row r="37" spans="1:11">
      <c r="A37" s="3" t="s">
        <v>17</v>
      </c>
      <c r="B37" s="3">
        <f>SUM(F21:F30)</f>
        <v>62.5</v>
      </c>
      <c r="C37" s="3"/>
      <c r="D37" s="7"/>
      <c r="E37" s="7"/>
      <c r="F37" s="7"/>
      <c r="G37" s="7"/>
      <c r="H37" s="7"/>
      <c r="I37" s="7"/>
      <c r="J37" s="7"/>
      <c r="K37" s="7"/>
    </row>
    <row r="38" spans="1:11">
      <c r="A38" s="3" t="s">
        <v>18</v>
      </c>
      <c r="B38" s="3">
        <f>1-B36/B37</f>
        <v>0.723254593175853</v>
      </c>
      <c r="C38" s="3"/>
      <c r="D38" s="7"/>
      <c r="E38" s="7"/>
      <c r="F38" s="7"/>
      <c r="G38" s="7"/>
      <c r="H38" s="7"/>
      <c r="I38" s="7"/>
      <c r="J38" s="7"/>
      <c r="K38" s="7"/>
    </row>
    <row r="39" spans="1:11">
      <c r="A39" s="3" t="s">
        <v>19</v>
      </c>
      <c r="B39" s="3">
        <f>B36/10</f>
        <v>1.72965879265092</v>
      </c>
      <c r="C39" s="3"/>
      <c r="D39" s="7"/>
      <c r="E39" s="7"/>
      <c r="F39" s="7"/>
      <c r="G39" s="7"/>
      <c r="H39" s="7"/>
      <c r="I39" s="7"/>
      <c r="J39" s="7"/>
      <c r="K39" s="7"/>
    </row>
    <row r="40" spans="1:11">
      <c r="A40" s="1" t="s">
        <v>30</v>
      </c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>
      <c r="A42" s="7" t="s">
        <v>31</v>
      </c>
      <c r="B42" s="7"/>
      <c r="C42" s="7"/>
      <c r="D42" s="7"/>
      <c r="E42" s="7"/>
      <c r="F42" s="7"/>
      <c r="G42" s="7"/>
      <c r="H42" s="7"/>
      <c r="I42" s="7"/>
      <c r="J42" s="7"/>
      <c r="K42" s="7"/>
    </row>
    <row r="43" ht="15.15" spans="1:1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>
      <c r="A44" s="13" t="s">
        <v>32</v>
      </c>
      <c r="B44" s="13"/>
      <c r="C44" s="7"/>
      <c r="D44" s="7"/>
      <c r="E44" s="7"/>
      <c r="F44" s="7"/>
      <c r="G44" s="7"/>
      <c r="H44" s="7"/>
      <c r="I44" s="7"/>
      <c r="J44" s="7"/>
      <c r="K44" s="7"/>
    </row>
    <row r="45" spans="1:11">
      <c r="A45" s="7" t="s">
        <v>33</v>
      </c>
      <c r="B45" s="7">
        <v>0.85044376250041</v>
      </c>
      <c r="C45" s="7"/>
      <c r="D45" s="7"/>
      <c r="E45" s="7"/>
      <c r="F45" s="7"/>
      <c r="G45" s="7"/>
      <c r="H45" s="7"/>
      <c r="I45" s="7"/>
      <c r="J45" s="7"/>
      <c r="K45" s="7"/>
    </row>
    <row r="46" spans="1:11">
      <c r="A46" s="7" t="s">
        <v>34</v>
      </c>
      <c r="B46" s="7">
        <v>0.723254593175853</v>
      </c>
      <c r="C46" s="7"/>
      <c r="D46" s="7"/>
      <c r="E46" s="7"/>
      <c r="F46" s="7"/>
      <c r="G46" s="7"/>
      <c r="H46" s="7"/>
      <c r="I46" s="7"/>
      <c r="J46" s="7"/>
      <c r="K46" s="7"/>
    </row>
    <row r="47" spans="1:11">
      <c r="A47" s="7" t="s">
        <v>35</v>
      </c>
      <c r="B47" s="7">
        <v>0.688661417322835</v>
      </c>
      <c r="C47" s="7"/>
      <c r="D47" s="7"/>
      <c r="E47" s="7"/>
      <c r="F47" s="7"/>
      <c r="G47" s="7"/>
      <c r="H47" s="7"/>
      <c r="I47" s="7"/>
      <c r="J47" s="7"/>
      <c r="K47" s="7"/>
    </row>
    <row r="48" spans="1:11">
      <c r="A48" s="7" t="s">
        <v>36</v>
      </c>
      <c r="B48" s="7">
        <v>1.47039909236018</v>
      </c>
      <c r="C48" s="7"/>
      <c r="D48" s="7"/>
      <c r="E48" s="7"/>
      <c r="F48" s="7"/>
      <c r="G48" s="7"/>
      <c r="H48" s="7"/>
      <c r="I48" s="7"/>
      <c r="J48" s="7"/>
      <c r="K48" s="7"/>
    </row>
    <row r="49" ht="15.15" spans="1:11">
      <c r="A49" s="14" t="s">
        <v>37</v>
      </c>
      <c r="B49" s="14">
        <v>10</v>
      </c>
      <c r="C49" s="7"/>
      <c r="D49" s="7"/>
      <c r="E49" s="7"/>
      <c r="F49" s="7"/>
      <c r="G49" s="7"/>
      <c r="H49" s="7"/>
      <c r="I49" s="7"/>
      <c r="J49" s="7"/>
      <c r="K49" s="7"/>
    </row>
    <row r="50" spans="1:1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ht="15.15" spans="1:11">
      <c r="A51" s="7" t="s">
        <v>38</v>
      </c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>
      <c r="A52" s="15"/>
      <c r="B52" s="15" t="s">
        <v>39</v>
      </c>
      <c r="C52" s="15" t="s">
        <v>40</v>
      </c>
      <c r="D52" s="15" t="s">
        <v>41</v>
      </c>
      <c r="E52" s="15" t="s">
        <v>42</v>
      </c>
      <c r="F52" s="15" t="s">
        <v>43</v>
      </c>
      <c r="G52" s="7"/>
      <c r="H52" s="7"/>
      <c r="I52" s="7"/>
      <c r="J52" s="7"/>
      <c r="K52" s="7"/>
    </row>
    <row r="53" spans="1:11">
      <c r="A53" s="7" t="s">
        <v>44</v>
      </c>
      <c r="B53" s="7">
        <v>1</v>
      </c>
      <c r="C53" s="7">
        <v>45.2034120734908</v>
      </c>
      <c r="D53" s="7">
        <v>45.2034120734908</v>
      </c>
      <c r="E53" s="7">
        <v>20.907435508346</v>
      </c>
      <c r="F53" s="7">
        <v>0.00181989561547534</v>
      </c>
      <c r="G53" s="7"/>
      <c r="H53" s="7"/>
      <c r="I53" s="7"/>
      <c r="J53" s="7"/>
      <c r="K53" s="7"/>
    </row>
    <row r="54" spans="1:11">
      <c r="A54" s="7" t="s">
        <v>45</v>
      </c>
      <c r="B54" s="7">
        <v>8</v>
      </c>
      <c r="C54" s="7">
        <v>17.2965879265092</v>
      </c>
      <c r="D54" s="7">
        <v>2.16207349081365</v>
      </c>
      <c r="E54" s="7"/>
      <c r="F54" s="7"/>
      <c r="G54" s="7"/>
      <c r="H54" s="7"/>
      <c r="I54" s="7"/>
      <c r="J54" s="7"/>
      <c r="K54" s="7"/>
    </row>
    <row r="55" ht="15.15" spans="1:11">
      <c r="A55" s="14" t="s">
        <v>46</v>
      </c>
      <c r="B55" s="14">
        <v>9</v>
      </c>
      <c r="C55" s="14">
        <v>62.5</v>
      </c>
      <c r="D55" s="14"/>
      <c r="E55" s="14"/>
      <c r="F55" s="14"/>
      <c r="G55" s="7"/>
      <c r="H55" s="7"/>
      <c r="I55" s="7"/>
      <c r="J55" s="7"/>
      <c r="K55" s="7"/>
    </row>
    <row r="56" ht="15.15" spans="1:1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>
      <c r="A57" s="15"/>
      <c r="B57" s="15" t="s">
        <v>47</v>
      </c>
      <c r="C57" s="15" t="s">
        <v>36</v>
      </c>
      <c r="D57" s="15" t="s">
        <v>48</v>
      </c>
      <c r="E57" s="15" t="s">
        <v>49</v>
      </c>
      <c r="F57" s="15" t="s">
        <v>50</v>
      </c>
      <c r="G57" s="15" t="s">
        <v>51</v>
      </c>
      <c r="H57" s="15" t="s">
        <v>52</v>
      </c>
      <c r="I57" s="15" t="s">
        <v>53</v>
      </c>
      <c r="J57" s="7"/>
      <c r="K57" s="7"/>
    </row>
    <row r="58" spans="1:11">
      <c r="A58" s="7" t="s">
        <v>54</v>
      </c>
      <c r="B58" s="7">
        <v>4.54855643044619</v>
      </c>
      <c r="C58" s="7">
        <v>1.80007579546935</v>
      </c>
      <c r="D58" s="7">
        <v>2.52686939177481</v>
      </c>
      <c r="E58" s="7">
        <v>0.0354277267668239</v>
      </c>
      <c r="F58" s="7">
        <v>0.397574202412936</v>
      </c>
      <c r="G58" s="7">
        <v>8.69953865847945</v>
      </c>
      <c r="H58" s="7">
        <v>0.397574202412936</v>
      </c>
      <c r="I58" s="7">
        <v>8.69953865847945</v>
      </c>
      <c r="J58" s="7"/>
      <c r="K58" s="7"/>
    </row>
    <row r="59" ht="15.15" spans="1:11">
      <c r="A59" s="14" t="s">
        <v>55</v>
      </c>
      <c r="B59" s="14">
        <v>0.544619422572178</v>
      </c>
      <c r="C59" s="14">
        <v>0.119108496461098</v>
      </c>
      <c r="D59" s="14">
        <v>4.57246492696729</v>
      </c>
      <c r="E59" s="14">
        <v>0.00181989561547534</v>
      </c>
      <c r="F59" s="14">
        <v>0.269954737194935</v>
      </c>
      <c r="G59" s="14">
        <v>0.819284107949421</v>
      </c>
      <c r="H59" s="14">
        <v>0.269954737194935</v>
      </c>
      <c r="I59" s="14">
        <v>0.819284107949421</v>
      </c>
      <c r="J59" s="7"/>
      <c r="K59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đức</dc:creator>
  <cp:lastModifiedBy>WPS_1741758069</cp:lastModifiedBy>
  <dcterms:created xsi:type="dcterms:W3CDTF">2026-01-17T07:32:00Z</dcterms:created>
  <dcterms:modified xsi:type="dcterms:W3CDTF">2026-01-17T10:27:05Z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1A814EEB09034BBC9099FE0AB44444DE_12</vt:lpwstr>
  </property>
  <property fmtid="{D5CDD505-2E9C-101B-9397-08002B2CF9AE}" pid="3" name="KSOProductBuildVer">
    <vt:lpwstr>1033-12.2.0.23196</vt:lpwstr>
  </property>
</Properties>
</file>